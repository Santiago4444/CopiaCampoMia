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_vhnrx0h\OneDrive\Documentos\IT\1 Proyectos\16 App Campo (Enrique Marcon)\DataPrototipo\"/>
    </mc:Choice>
  </mc:AlternateContent>
  <xr:revisionPtr revIDLastSave="0" documentId="13_ncr:1_{CA89653F-4721-4D7F-96DF-00ECF6E971ED}" xr6:coauthVersionLast="47" xr6:coauthVersionMax="47" xr10:uidLastSave="{00000000-0000-0000-0000-000000000000}"/>
  <bookViews>
    <workbookView xWindow="28680" yWindow="720" windowWidth="24240" windowHeight="13740" xr2:uid="{48E698AA-5136-46DA-969D-E7CBA995B8BC}"/>
  </bookViews>
  <sheets>
    <sheet name="Presupues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2" l="1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O2" i="2"/>
  <c r="S2" i="2" s="1"/>
  <c r="O3" i="2"/>
  <c r="P3" i="2"/>
  <c r="Q3" i="2"/>
  <c r="R3" i="2"/>
  <c r="O4" i="2"/>
  <c r="P4" i="2"/>
  <c r="Q4" i="2"/>
  <c r="R4" i="2"/>
  <c r="O5" i="2"/>
  <c r="P5" i="2"/>
  <c r="Q5" i="2"/>
  <c r="R5" i="2"/>
  <c r="O6" i="2"/>
  <c r="P6" i="2"/>
  <c r="Q6" i="2"/>
  <c r="R6" i="2"/>
  <c r="O7" i="2"/>
  <c r="P7" i="2"/>
  <c r="Q7" i="2"/>
  <c r="R7" i="2"/>
  <c r="O8" i="2"/>
  <c r="P8" i="2"/>
  <c r="Q8" i="2"/>
  <c r="R8" i="2"/>
  <c r="O9" i="2"/>
  <c r="P9" i="2"/>
  <c r="Q9" i="2"/>
  <c r="R9" i="2"/>
  <c r="O10" i="2"/>
  <c r="P10" i="2"/>
  <c r="Q10" i="2"/>
  <c r="R10" i="2"/>
  <c r="O11" i="2"/>
  <c r="P11" i="2"/>
  <c r="Q11" i="2"/>
  <c r="R11" i="2"/>
  <c r="O12" i="2"/>
  <c r="P12" i="2"/>
  <c r="Q12" i="2"/>
  <c r="R12" i="2"/>
  <c r="O13" i="2"/>
  <c r="P13" i="2"/>
  <c r="Q13" i="2"/>
  <c r="R13" i="2"/>
  <c r="O14" i="2"/>
  <c r="P14" i="2"/>
  <c r="Q14" i="2"/>
  <c r="R14" i="2"/>
  <c r="O15" i="2"/>
  <c r="P15" i="2"/>
  <c r="Q15" i="2"/>
  <c r="R15" i="2"/>
  <c r="O16" i="2"/>
  <c r="P16" i="2"/>
  <c r="Q16" i="2"/>
  <c r="R16" i="2"/>
  <c r="O17" i="2"/>
  <c r="P17" i="2"/>
  <c r="Q17" i="2"/>
  <c r="R17" i="2"/>
  <c r="O18" i="2"/>
  <c r="P18" i="2"/>
  <c r="Q18" i="2"/>
  <c r="R18" i="2"/>
  <c r="R2" i="2"/>
  <c r="Q2" i="2"/>
  <c r="P2" i="2"/>
  <c r="C10" i="2"/>
  <c r="J2" i="2"/>
  <c r="F11" i="2"/>
  <c r="F15" i="2"/>
  <c r="C18" i="2"/>
</calcChain>
</file>

<file path=xl/sharedStrings.xml><?xml version="1.0" encoding="utf-8"?>
<sst xmlns="http://schemas.openxmlformats.org/spreadsheetml/2006/main" count="53" uniqueCount="31">
  <si>
    <t>La Ponderosa SRL</t>
  </si>
  <si>
    <t>Colagro Bandera SA</t>
  </si>
  <si>
    <t>Maíz</t>
  </si>
  <si>
    <t>Algodón</t>
  </si>
  <si>
    <t>Soja</t>
  </si>
  <si>
    <t>Sorgo</t>
  </si>
  <si>
    <t>Moha</t>
  </si>
  <si>
    <t>Maíz 2da</t>
  </si>
  <si>
    <t>Sorgo 2da</t>
  </si>
  <si>
    <t>Girasol</t>
  </si>
  <si>
    <t>Soja 2da</t>
  </si>
  <si>
    <t>Cultivo</t>
  </si>
  <si>
    <t>Herbicidas</t>
  </si>
  <si>
    <t>Insecticidas</t>
  </si>
  <si>
    <t>Coadyuvantes</t>
  </si>
  <si>
    <t>Semilla</t>
  </si>
  <si>
    <t>Pulverización Terrestre</t>
  </si>
  <si>
    <t>Pulverización Selectiva</t>
  </si>
  <si>
    <t>Pulverización Aérea</t>
  </si>
  <si>
    <t>Siembra</t>
  </si>
  <si>
    <t>La Ponderosa</t>
  </si>
  <si>
    <t>Empresa</t>
  </si>
  <si>
    <t>Otras Labores</t>
  </si>
  <si>
    <t>Fungicidas</t>
  </si>
  <si>
    <t>Fertilizantes</t>
  </si>
  <si>
    <t>Total</t>
  </si>
  <si>
    <t>Total Agroquímicos</t>
  </si>
  <si>
    <t>Total Semilla</t>
  </si>
  <si>
    <t>Total labores</t>
  </si>
  <si>
    <t>Otros Agroquímicos</t>
  </si>
  <si>
    <t>Total Fertilizantes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</si>
</sst>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Roboto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64" fontId="0" fillId="2" borderId="1" xfId="0" applyNumberFormat="1" applyFill="1" applyBorder="1"/>
    <xf numFmtId="0" fontId="0" fillId="2" borderId="0" xfId="0" applyFill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311F-59DB-4B39-9F96-683D0D54A340}">
  <dimension ref="A1:S28"/>
  <sheetViews>
    <sheetView tabSelected="1" workbookViewId="0">
      <selection activeCell="A21" sqref="A21"/>
    </sheetView>
  </sheetViews>
  <sheetFormatPr baseColWidth="10" defaultRowHeight="14.4" x14ac:dyDescent="0.3"/>
  <cols>
    <col min="1" max="1" width="17.59765625" customWidth="1"/>
    <col min="2" max="13" width="13.296875" style="8" customWidth="1"/>
    <col min="14" max="14" width="11.19921875" style="8"/>
    <col min="15" max="16" width="12.3984375" customWidth="1"/>
  </cols>
  <sheetData>
    <row r="1" spans="1:19" ht="27" x14ac:dyDescent="0.3">
      <c r="A1" s="1" t="s">
        <v>21</v>
      </c>
      <c r="B1" s="5" t="s">
        <v>11</v>
      </c>
      <c r="C1" s="5" t="s">
        <v>12</v>
      </c>
      <c r="D1" s="5" t="s">
        <v>13</v>
      </c>
      <c r="E1" s="5" t="s">
        <v>23</v>
      </c>
      <c r="F1" s="5" t="s">
        <v>24</v>
      </c>
      <c r="G1" s="5" t="s">
        <v>14</v>
      </c>
      <c r="H1" s="5" t="s">
        <v>29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22</v>
      </c>
      <c r="O1" s="3" t="s">
        <v>26</v>
      </c>
      <c r="P1" s="3" t="s">
        <v>30</v>
      </c>
      <c r="Q1" s="3" t="s">
        <v>27</v>
      </c>
      <c r="R1" s="3" t="s">
        <v>28</v>
      </c>
      <c r="S1" s="3" t="s">
        <v>25</v>
      </c>
    </row>
    <row r="2" spans="1:19" x14ac:dyDescent="0.3">
      <c r="A2" s="2" t="s">
        <v>0</v>
      </c>
      <c r="B2" s="6" t="s">
        <v>3</v>
      </c>
      <c r="C2" s="7">
        <v>110</v>
      </c>
      <c r="D2" s="7">
        <v>32</v>
      </c>
      <c r="E2" s="7"/>
      <c r="F2" s="7">
        <v>20</v>
      </c>
      <c r="G2" s="7">
        <v>17</v>
      </c>
      <c r="H2" s="7">
        <v>39</v>
      </c>
      <c r="I2" s="7">
        <v>31</v>
      </c>
      <c r="J2" s="7">
        <f>39+12</f>
        <v>51</v>
      </c>
      <c r="K2" s="7">
        <v>9.5</v>
      </c>
      <c r="L2" s="7">
        <v>22</v>
      </c>
      <c r="M2" s="7">
        <v>45</v>
      </c>
      <c r="N2" s="7">
        <v>25</v>
      </c>
      <c r="O2" s="4">
        <f>+C2+D2+E2+G2+H2</f>
        <v>198</v>
      </c>
      <c r="P2" s="4">
        <f>+F2</f>
        <v>20</v>
      </c>
      <c r="Q2" s="4">
        <f>+I2</f>
        <v>31</v>
      </c>
      <c r="R2" s="4">
        <f>+N2+M2+L2+K2+J2</f>
        <v>152.5</v>
      </c>
      <c r="S2" s="4">
        <f>+R2+Q2+P2+O2</f>
        <v>401.5</v>
      </c>
    </row>
    <row r="3" spans="1:19" x14ac:dyDescent="0.3">
      <c r="A3" s="2" t="s">
        <v>20</v>
      </c>
      <c r="B3" s="6" t="s">
        <v>9</v>
      </c>
      <c r="C3" s="7">
        <v>27</v>
      </c>
      <c r="D3" s="7">
        <v>12.3</v>
      </c>
      <c r="E3" s="7">
        <v>3</v>
      </c>
      <c r="F3" s="7"/>
      <c r="G3" s="7">
        <v>3.8</v>
      </c>
      <c r="H3" s="7"/>
      <c r="I3" s="7">
        <v>82.4</v>
      </c>
      <c r="J3" s="7">
        <v>6</v>
      </c>
      <c r="K3" s="7"/>
      <c r="L3" s="7">
        <v>11</v>
      </c>
      <c r="M3" s="7">
        <v>45</v>
      </c>
      <c r="N3" s="7">
        <v>90</v>
      </c>
      <c r="O3" s="4">
        <f t="shared" ref="O3:O18" si="0">+C3+D3+E3+G3</f>
        <v>46.099999999999994</v>
      </c>
      <c r="P3" s="4">
        <f t="shared" ref="P3:P18" si="1">+F3</f>
        <v>0</v>
      </c>
      <c r="Q3" s="4">
        <f t="shared" ref="Q3:Q18" si="2">+I3</f>
        <v>82.4</v>
      </c>
      <c r="R3" s="4">
        <f t="shared" ref="R3:R18" si="3">+N3+M3+L3+K3+J3</f>
        <v>152</v>
      </c>
      <c r="S3" s="4">
        <f t="shared" ref="S3:S18" si="4">+R3+Q3+P3+O3</f>
        <v>280.5</v>
      </c>
    </row>
    <row r="4" spans="1:19" x14ac:dyDescent="0.3">
      <c r="A4" s="2" t="s">
        <v>20</v>
      </c>
      <c r="B4" s="6" t="s">
        <v>4</v>
      </c>
      <c r="C4" s="7">
        <v>94.5</v>
      </c>
      <c r="D4" s="7">
        <v>30.8</v>
      </c>
      <c r="E4" s="7">
        <v>6.6</v>
      </c>
      <c r="F4" s="7"/>
      <c r="G4" s="7">
        <v>13.7</v>
      </c>
      <c r="H4" s="7"/>
      <c r="I4" s="7">
        <v>28.4</v>
      </c>
      <c r="J4" s="7">
        <v>36</v>
      </c>
      <c r="K4" s="7">
        <v>19</v>
      </c>
      <c r="L4" s="7"/>
      <c r="M4" s="7">
        <v>45</v>
      </c>
      <c r="N4" s="7"/>
      <c r="O4" s="4">
        <f t="shared" si="0"/>
        <v>145.6</v>
      </c>
      <c r="P4" s="4">
        <f t="shared" si="1"/>
        <v>0</v>
      </c>
      <c r="Q4" s="4">
        <f t="shared" si="2"/>
        <v>28.4</v>
      </c>
      <c r="R4" s="4">
        <f t="shared" si="3"/>
        <v>100</v>
      </c>
      <c r="S4" s="4">
        <f t="shared" si="4"/>
        <v>274</v>
      </c>
    </row>
    <row r="5" spans="1:19" x14ac:dyDescent="0.3">
      <c r="A5" s="2" t="s">
        <v>20</v>
      </c>
      <c r="B5" s="6" t="s">
        <v>10</v>
      </c>
      <c r="C5" s="7">
        <v>85</v>
      </c>
      <c r="D5" s="7">
        <v>27</v>
      </c>
      <c r="E5" s="7">
        <v>6.6</v>
      </c>
      <c r="F5" s="7"/>
      <c r="G5" s="7">
        <v>13.7</v>
      </c>
      <c r="H5" s="7"/>
      <c r="I5" s="7">
        <v>28.4</v>
      </c>
      <c r="J5" s="7">
        <v>24</v>
      </c>
      <c r="K5" s="7">
        <v>9.5</v>
      </c>
      <c r="L5" s="7"/>
      <c r="M5" s="7">
        <v>45</v>
      </c>
      <c r="N5" s="7"/>
      <c r="O5" s="4">
        <f t="shared" si="0"/>
        <v>132.29999999999998</v>
      </c>
      <c r="P5" s="4">
        <f t="shared" si="1"/>
        <v>0</v>
      </c>
      <c r="Q5" s="4">
        <f t="shared" si="2"/>
        <v>28.4</v>
      </c>
      <c r="R5" s="4">
        <f t="shared" si="3"/>
        <v>78.5</v>
      </c>
      <c r="S5" s="4">
        <f t="shared" si="4"/>
        <v>239.2</v>
      </c>
    </row>
    <row r="6" spans="1:19" x14ac:dyDescent="0.3">
      <c r="A6" s="2" t="s">
        <v>20</v>
      </c>
      <c r="B6" s="6" t="s">
        <v>2</v>
      </c>
      <c r="C6" s="7">
        <v>110</v>
      </c>
      <c r="D6" s="7">
        <v>24</v>
      </c>
      <c r="E6" s="7"/>
      <c r="F6" s="7"/>
      <c r="G6" s="7">
        <v>15.4</v>
      </c>
      <c r="H6" s="7"/>
      <c r="I6" s="7">
        <v>142</v>
      </c>
      <c r="J6" s="7">
        <v>18</v>
      </c>
      <c r="K6" s="7">
        <v>19</v>
      </c>
      <c r="L6" s="7">
        <v>22</v>
      </c>
      <c r="M6" s="7">
        <v>45</v>
      </c>
      <c r="N6" s="7"/>
      <c r="O6" s="4">
        <f t="shared" si="0"/>
        <v>149.4</v>
      </c>
      <c r="P6" s="4">
        <f t="shared" si="1"/>
        <v>0</v>
      </c>
      <c r="Q6" s="4">
        <f t="shared" si="2"/>
        <v>142</v>
      </c>
      <c r="R6" s="4">
        <f t="shared" si="3"/>
        <v>104</v>
      </c>
      <c r="S6" s="4">
        <f t="shared" si="4"/>
        <v>395.4</v>
      </c>
    </row>
    <row r="7" spans="1:19" x14ac:dyDescent="0.3">
      <c r="A7" s="2" t="s">
        <v>20</v>
      </c>
      <c r="B7" s="6" t="s">
        <v>7</v>
      </c>
      <c r="C7" s="7">
        <v>60</v>
      </c>
      <c r="D7" s="7">
        <v>24</v>
      </c>
      <c r="E7" s="7"/>
      <c r="F7" s="7">
        <v>58</v>
      </c>
      <c r="G7" s="7">
        <v>11.4</v>
      </c>
      <c r="H7" s="7"/>
      <c r="I7" s="7">
        <v>135</v>
      </c>
      <c r="J7" s="7">
        <v>12</v>
      </c>
      <c r="K7" s="7">
        <v>19</v>
      </c>
      <c r="L7" s="7">
        <v>22</v>
      </c>
      <c r="M7" s="7">
        <v>45</v>
      </c>
      <c r="N7" s="7"/>
      <c r="O7" s="4">
        <f t="shared" si="0"/>
        <v>95.4</v>
      </c>
      <c r="P7" s="4">
        <f t="shared" si="1"/>
        <v>58</v>
      </c>
      <c r="Q7" s="4">
        <f t="shared" si="2"/>
        <v>135</v>
      </c>
      <c r="R7" s="4">
        <f t="shared" si="3"/>
        <v>98</v>
      </c>
      <c r="S7" s="4">
        <f t="shared" si="4"/>
        <v>386.4</v>
      </c>
    </row>
    <row r="8" spans="1:19" x14ac:dyDescent="0.3">
      <c r="A8" s="2" t="s">
        <v>20</v>
      </c>
      <c r="B8" s="6" t="s">
        <v>5</v>
      </c>
      <c r="C8" s="7">
        <v>75</v>
      </c>
      <c r="D8" s="7">
        <v>52.8</v>
      </c>
      <c r="E8" s="7"/>
      <c r="F8" s="7"/>
      <c r="G8" s="7">
        <v>10</v>
      </c>
      <c r="H8" s="7"/>
      <c r="I8" s="7">
        <v>27</v>
      </c>
      <c r="J8" s="7">
        <v>18</v>
      </c>
      <c r="K8" s="7">
        <v>19</v>
      </c>
      <c r="L8" s="7">
        <v>22</v>
      </c>
      <c r="M8" s="7">
        <v>45</v>
      </c>
      <c r="N8" s="7"/>
      <c r="O8" s="4">
        <f t="shared" si="0"/>
        <v>137.80000000000001</v>
      </c>
      <c r="P8" s="4">
        <f t="shared" si="1"/>
        <v>0</v>
      </c>
      <c r="Q8" s="4">
        <f t="shared" si="2"/>
        <v>27</v>
      </c>
      <c r="R8" s="4">
        <f t="shared" si="3"/>
        <v>104</v>
      </c>
      <c r="S8" s="4">
        <f t="shared" si="4"/>
        <v>268.8</v>
      </c>
    </row>
    <row r="9" spans="1:19" x14ac:dyDescent="0.3">
      <c r="A9" s="2" t="s">
        <v>20</v>
      </c>
      <c r="B9" s="6" t="s">
        <v>8</v>
      </c>
      <c r="C9" s="7">
        <v>60</v>
      </c>
      <c r="D9" s="7">
        <v>52.8</v>
      </c>
      <c r="E9" s="7"/>
      <c r="F9" s="7"/>
      <c r="G9" s="7">
        <v>8</v>
      </c>
      <c r="H9" s="7"/>
      <c r="I9" s="7">
        <v>27</v>
      </c>
      <c r="J9" s="7">
        <v>18</v>
      </c>
      <c r="K9" s="7">
        <v>9.5</v>
      </c>
      <c r="L9" s="7">
        <v>22</v>
      </c>
      <c r="M9" s="7">
        <v>45</v>
      </c>
      <c r="N9" s="7"/>
      <c r="O9" s="4">
        <f t="shared" si="0"/>
        <v>120.8</v>
      </c>
      <c r="P9" s="4">
        <f t="shared" si="1"/>
        <v>0</v>
      </c>
      <c r="Q9" s="4">
        <f t="shared" si="2"/>
        <v>27</v>
      </c>
      <c r="R9" s="4">
        <f t="shared" si="3"/>
        <v>94.5</v>
      </c>
      <c r="S9" s="4">
        <f t="shared" si="4"/>
        <v>242.3</v>
      </c>
    </row>
    <row r="10" spans="1:19" x14ac:dyDescent="0.3">
      <c r="A10" s="2" t="s">
        <v>20</v>
      </c>
      <c r="B10" s="6" t="s">
        <v>6</v>
      </c>
      <c r="C10" s="7">
        <f>2.5*4.5+2.5*4.5+0.8*6</f>
        <v>27.3</v>
      </c>
      <c r="D10" s="7"/>
      <c r="E10" s="7"/>
      <c r="F10" s="7"/>
      <c r="G10" s="7">
        <v>3</v>
      </c>
      <c r="H10" s="7"/>
      <c r="I10" s="7">
        <v>8</v>
      </c>
      <c r="J10" s="7">
        <v>12</v>
      </c>
      <c r="K10" s="7"/>
      <c r="L10" s="7"/>
      <c r="M10" s="7">
        <v>45</v>
      </c>
      <c r="N10" s="7"/>
      <c r="O10" s="4">
        <f t="shared" si="0"/>
        <v>30.3</v>
      </c>
      <c r="P10" s="4">
        <f t="shared" si="1"/>
        <v>0</v>
      </c>
      <c r="Q10" s="4">
        <f t="shared" si="2"/>
        <v>8</v>
      </c>
      <c r="R10" s="4">
        <f t="shared" si="3"/>
        <v>57</v>
      </c>
      <c r="S10" s="4">
        <f t="shared" si="4"/>
        <v>95.3</v>
      </c>
    </row>
    <row r="11" spans="1:19" x14ac:dyDescent="0.3">
      <c r="A11" s="2" t="s">
        <v>1</v>
      </c>
      <c r="B11" s="6" t="s">
        <v>3</v>
      </c>
      <c r="C11" s="7">
        <v>110</v>
      </c>
      <c r="D11" s="7">
        <v>32</v>
      </c>
      <c r="E11" s="7"/>
      <c r="F11" s="7">
        <f>80*0.58</f>
        <v>46.4</v>
      </c>
      <c r="G11" s="7">
        <v>17</v>
      </c>
      <c r="H11" s="7">
        <v>39</v>
      </c>
      <c r="I11" s="7">
        <v>31</v>
      </c>
      <c r="J11" s="7">
        <v>39</v>
      </c>
      <c r="K11" s="7">
        <v>9.5</v>
      </c>
      <c r="L11" s="7">
        <v>22</v>
      </c>
      <c r="M11" s="7">
        <v>45</v>
      </c>
      <c r="N11" s="7">
        <v>25</v>
      </c>
      <c r="O11" s="4">
        <f t="shared" si="0"/>
        <v>159</v>
      </c>
      <c r="P11" s="4">
        <f t="shared" si="1"/>
        <v>46.4</v>
      </c>
      <c r="Q11" s="4">
        <f t="shared" si="2"/>
        <v>31</v>
      </c>
      <c r="R11" s="4">
        <f t="shared" si="3"/>
        <v>140.5</v>
      </c>
      <c r="S11" s="4">
        <f t="shared" si="4"/>
        <v>376.9</v>
      </c>
    </row>
    <row r="12" spans="1:19" x14ac:dyDescent="0.3">
      <c r="A12" s="2" t="s">
        <v>1</v>
      </c>
      <c r="B12" s="6" t="s">
        <v>9</v>
      </c>
      <c r="C12" s="7">
        <v>49</v>
      </c>
      <c r="D12" s="7">
        <v>12.3</v>
      </c>
      <c r="E12" s="7">
        <v>3.5</v>
      </c>
      <c r="F12" s="7">
        <v>50</v>
      </c>
      <c r="G12" s="7">
        <v>3.8</v>
      </c>
      <c r="H12" s="7"/>
      <c r="I12" s="7">
        <v>82.4</v>
      </c>
      <c r="J12" s="7">
        <v>6</v>
      </c>
      <c r="K12" s="7">
        <v>9.5</v>
      </c>
      <c r="L12" s="7">
        <v>11</v>
      </c>
      <c r="M12" s="7">
        <v>45</v>
      </c>
      <c r="N12" s="7">
        <v>25</v>
      </c>
      <c r="O12" s="4">
        <f t="shared" si="0"/>
        <v>68.599999999999994</v>
      </c>
      <c r="P12" s="4">
        <f t="shared" si="1"/>
        <v>50</v>
      </c>
      <c r="Q12" s="4">
        <f t="shared" si="2"/>
        <v>82.4</v>
      </c>
      <c r="R12" s="4">
        <f t="shared" si="3"/>
        <v>96.5</v>
      </c>
      <c r="S12" s="4">
        <f t="shared" si="4"/>
        <v>297.5</v>
      </c>
    </row>
    <row r="13" spans="1:19" x14ac:dyDescent="0.3">
      <c r="A13" s="2" t="s">
        <v>1</v>
      </c>
      <c r="B13" s="6" t="s">
        <v>4</v>
      </c>
      <c r="C13" s="7">
        <v>94.5</v>
      </c>
      <c r="D13" s="7">
        <v>30.8</v>
      </c>
      <c r="E13" s="7">
        <v>6.6</v>
      </c>
      <c r="F13" s="7"/>
      <c r="G13" s="7">
        <v>13.7</v>
      </c>
      <c r="H13" s="7"/>
      <c r="I13" s="7">
        <v>28.4</v>
      </c>
      <c r="J13" s="7">
        <v>36</v>
      </c>
      <c r="K13" s="7">
        <v>19</v>
      </c>
      <c r="L13" s="7"/>
      <c r="M13" s="7">
        <v>45</v>
      </c>
      <c r="N13" s="7"/>
      <c r="O13" s="4">
        <f t="shared" si="0"/>
        <v>145.6</v>
      </c>
      <c r="P13" s="4">
        <f t="shared" si="1"/>
        <v>0</v>
      </c>
      <c r="Q13" s="4">
        <f t="shared" si="2"/>
        <v>28.4</v>
      </c>
      <c r="R13" s="4">
        <f t="shared" si="3"/>
        <v>100</v>
      </c>
      <c r="S13" s="4">
        <f t="shared" si="4"/>
        <v>274</v>
      </c>
    </row>
    <row r="14" spans="1:19" x14ac:dyDescent="0.3">
      <c r="A14" s="2" t="s">
        <v>1</v>
      </c>
      <c r="B14" s="6" t="s">
        <v>10</v>
      </c>
      <c r="C14" s="7">
        <v>85</v>
      </c>
      <c r="D14" s="7">
        <v>27</v>
      </c>
      <c r="E14" s="7">
        <v>6.6</v>
      </c>
      <c r="F14" s="7"/>
      <c r="G14" s="7">
        <v>13.7</v>
      </c>
      <c r="H14" s="7"/>
      <c r="I14" s="7">
        <v>28.4</v>
      </c>
      <c r="J14" s="7">
        <v>24</v>
      </c>
      <c r="K14" s="7">
        <v>9.5</v>
      </c>
      <c r="L14" s="7"/>
      <c r="M14" s="7">
        <v>45</v>
      </c>
      <c r="N14" s="7"/>
      <c r="O14" s="4">
        <f t="shared" si="0"/>
        <v>132.29999999999998</v>
      </c>
      <c r="P14" s="4">
        <f t="shared" si="1"/>
        <v>0</v>
      </c>
      <c r="Q14" s="4">
        <f t="shared" si="2"/>
        <v>28.4</v>
      </c>
      <c r="R14" s="4">
        <f t="shared" si="3"/>
        <v>78.5</v>
      </c>
      <c r="S14" s="4">
        <f t="shared" si="4"/>
        <v>239.2</v>
      </c>
    </row>
    <row r="15" spans="1:19" x14ac:dyDescent="0.3">
      <c r="A15" s="2" t="s">
        <v>1</v>
      </c>
      <c r="B15" s="6" t="s">
        <v>2</v>
      </c>
      <c r="C15" s="7">
        <v>110</v>
      </c>
      <c r="D15" s="7">
        <v>24</v>
      </c>
      <c r="E15" s="7"/>
      <c r="F15" s="7">
        <f>75*0.58</f>
        <v>43.5</v>
      </c>
      <c r="G15" s="7">
        <v>15.4</v>
      </c>
      <c r="H15" s="7"/>
      <c r="I15" s="7">
        <v>142</v>
      </c>
      <c r="J15" s="7">
        <v>18</v>
      </c>
      <c r="K15" s="7">
        <v>19</v>
      </c>
      <c r="L15" s="7">
        <v>22</v>
      </c>
      <c r="M15" s="7">
        <v>45</v>
      </c>
      <c r="N15" s="7">
        <v>35</v>
      </c>
      <c r="O15" s="4">
        <f t="shared" si="0"/>
        <v>149.4</v>
      </c>
      <c r="P15" s="4">
        <f t="shared" si="1"/>
        <v>43.5</v>
      </c>
      <c r="Q15" s="4">
        <f t="shared" si="2"/>
        <v>142</v>
      </c>
      <c r="R15" s="4">
        <f t="shared" si="3"/>
        <v>139</v>
      </c>
      <c r="S15" s="4">
        <f t="shared" si="4"/>
        <v>473.9</v>
      </c>
    </row>
    <row r="16" spans="1:19" x14ac:dyDescent="0.3">
      <c r="A16" s="2" t="s">
        <v>1</v>
      </c>
      <c r="B16" s="6" t="s">
        <v>7</v>
      </c>
      <c r="C16" s="7">
        <v>90</v>
      </c>
      <c r="D16" s="7">
        <v>24</v>
      </c>
      <c r="E16" s="7"/>
      <c r="F16" s="7">
        <v>58</v>
      </c>
      <c r="G16" s="7">
        <v>11.4</v>
      </c>
      <c r="H16" s="7"/>
      <c r="I16" s="7">
        <v>135</v>
      </c>
      <c r="J16" s="7">
        <v>12</v>
      </c>
      <c r="K16" s="7">
        <v>19</v>
      </c>
      <c r="L16" s="7">
        <v>22</v>
      </c>
      <c r="M16" s="7">
        <v>45</v>
      </c>
      <c r="N16" s="7">
        <v>35</v>
      </c>
      <c r="O16" s="4">
        <f t="shared" si="0"/>
        <v>125.4</v>
      </c>
      <c r="P16" s="4">
        <f t="shared" si="1"/>
        <v>58</v>
      </c>
      <c r="Q16" s="4">
        <f t="shared" si="2"/>
        <v>135</v>
      </c>
      <c r="R16" s="4">
        <f t="shared" si="3"/>
        <v>133</v>
      </c>
      <c r="S16" s="4">
        <f t="shared" si="4"/>
        <v>451.4</v>
      </c>
    </row>
    <row r="17" spans="1:19" x14ac:dyDescent="0.3">
      <c r="A17" s="2" t="s">
        <v>1</v>
      </c>
      <c r="B17" s="6" t="s">
        <v>5</v>
      </c>
      <c r="C17" s="7">
        <v>75</v>
      </c>
      <c r="D17" s="7">
        <v>52.8</v>
      </c>
      <c r="E17" s="7"/>
      <c r="F17" s="7"/>
      <c r="G17" s="7">
        <v>10</v>
      </c>
      <c r="H17" s="7"/>
      <c r="I17" s="7">
        <v>27</v>
      </c>
      <c r="J17" s="7">
        <v>18</v>
      </c>
      <c r="K17" s="7">
        <v>19</v>
      </c>
      <c r="L17" s="7">
        <v>22</v>
      </c>
      <c r="M17" s="7">
        <v>45</v>
      </c>
      <c r="N17" s="7"/>
      <c r="O17" s="4">
        <f t="shared" si="0"/>
        <v>137.80000000000001</v>
      </c>
      <c r="P17" s="4">
        <f t="shared" si="1"/>
        <v>0</v>
      </c>
      <c r="Q17" s="4">
        <f t="shared" si="2"/>
        <v>27</v>
      </c>
      <c r="R17" s="4">
        <f t="shared" si="3"/>
        <v>104</v>
      </c>
      <c r="S17" s="4">
        <f t="shared" si="4"/>
        <v>268.8</v>
      </c>
    </row>
    <row r="18" spans="1:19" x14ac:dyDescent="0.3">
      <c r="A18" s="2" t="s">
        <v>1</v>
      </c>
      <c r="B18" s="6" t="s">
        <v>6</v>
      </c>
      <c r="C18" s="7">
        <f>2.5*4.5+2.5*4.5+0.8*6</f>
        <v>27.3</v>
      </c>
      <c r="D18" s="7"/>
      <c r="E18" s="7"/>
      <c r="F18" s="7"/>
      <c r="G18" s="7">
        <v>3</v>
      </c>
      <c r="H18" s="7"/>
      <c r="I18" s="7">
        <v>8</v>
      </c>
      <c r="J18" s="7">
        <v>12</v>
      </c>
      <c r="K18" s="7"/>
      <c r="L18" s="7"/>
      <c r="M18" s="7">
        <v>45</v>
      </c>
      <c r="N18" s="7"/>
      <c r="O18" s="4">
        <f t="shared" si="0"/>
        <v>30.3</v>
      </c>
      <c r="P18" s="4">
        <f t="shared" si="1"/>
        <v>0</v>
      </c>
      <c r="Q18" s="4">
        <f t="shared" si="2"/>
        <v>8</v>
      </c>
      <c r="R18" s="4">
        <f t="shared" si="3"/>
        <v>57</v>
      </c>
      <c r="S18" s="4">
        <f t="shared" si="4"/>
        <v>95.3</v>
      </c>
    </row>
    <row r="28" spans="1:19" x14ac:dyDescent="0.3">
      <c r="G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 Marcon</dc:creator>
  <cp:lastModifiedBy>Santiago Ghione</cp:lastModifiedBy>
  <dcterms:created xsi:type="dcterms:W3CDTF">2025-12-24T20:39:16Z</dcterms:created>
  <dcterms:modified xsi:type="dcterms:W3CDTF">2025-12-26T12:59:52Z</dcterms:modified>
</cp:coreProperties>
</file>